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ostate-my.sharepoint.com/personal/smithrg_colostate_edu/Documents/Articles/My_Writeups/Arizona_GW_ML/colorado river/"/>
    </mc:Choice>
  </mc:AlternateContent>
  <xr:revisionPtr revIDLastSave="4" documentId="13_ncr:1_{3113AEF7-F50E-42D1-8B42-37479DA5938F}" xr6:coauthVersionLast="47" xr6:coauthVersionMax="47" xr10:uidLastSave="{6A33E6EF-502D-4D34-B95D-E6C87B041355}"/>
  <bookViews>
    <workbookView xWindow="-120" yWindow="-120" windowWidth="29040" windowHeight="15840" activeTab="1" xr2:uid="{00000000-000D-0000-FFFF-FFFF00000000}"/>
  </bookViews>
  <sheets>
    <sheet name="Water Year" sheetId="1" r:id="rId1"/>
    <sheet name="Calendar Year" sheetId="4" r:id="rId2"/>
    <sheet name="documentatio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24" i="1" l="1"/>
  <c r="B124" i="4"/>
  <c r="B122" i="4" l="1"/>
  <c r="A1" i="4" l="1"/>
  <c r="B1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prairie</author>
    <author>Conor Felletter</author>
    <author>JPrairie</author>
  </authors>
  <commentList>
    <comment ref="B118" authorId="0" shapeId="0" xr:uid="{BFFB9115-9224-4B9F-AC44-5B678C62D79D}">
      <text>
        <r>
          <rPr>
            <b/>
            <sz val="8"/>
            <color indexed="81"/>
            <rFont val="Tahoma"/>
            <family val="2"/>
          </rPr>
          <t xml:space="preserve"> cfelletter:</t>
        </r>
        <r>
          <rPr>
            <sz val="8"/>
            <color indexed="81"/>
            <rFont val="Tahoma"/>
            <family val="2"/>
          </rPr>
          <t xml:space="preserve">
current natural flows dated 2022-04-20 from 1906-2020
 available at http://www.usbr.gov/lc/region/g4000/NaturalFlow/index.html</t>
        </r>
      </text>
    </comment>
    <comment ref="B119" authorId="0" shapeId="0" xr:uid="{6B8A572B-15D9-4EA7-8BC4-6464F3D6CFFF}">
      <text>
        <r>
          <rPr>
            <b/>
            <sz val="8"/>
            <color indexed="81"/>
            <rFont val="Tahoma"/>
            <family val="2"/>
          </rPr>
          <t xml:space="preserve"> cfelletter</t>
        </r>
        <r>
          <rPr>
            <sz val="8"/>
            <color indexed="81"/>
            <rFont val="Tahoma"/>
            <family val="2"/>
          </rPr>
          <t xml:space="preserve">
provisional natural flow</t>
        </r>
      </text>
    </comment>
    <comment ref="B120" authorId="1" shapeId="0" xr:uid="{FFD9A9A3-5200-4016-94CB-BE673FB15556}">
      <text>
        <r>
          <rPr>
            <b/>
            <sz val="8"/>
            <color indexed="81"/>
            <rFont val="Tahoma"/>
            <family val="2"/>
          </rPr>
          <t>cfelletter:</t>
        </r>
        <r>
          <rPr>
            <sz val="8"/>
            <color indexed="81"/>
            <rFont val="Tahoma"/>
            <family val="2"/>
          </rPr>
          <t xml:space="preserve">
preliminary provisional natural flow based on a 65% unregulated inflow into Powell (based on April 2022 - 24 month study) which approximately translates to a 74% natural flow year times the WY 1991-2019 natural flow average of 13.614 MAF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4" authorId="2" shapeId="0" xr:uid="{9B63C051-58D5-4DCA-B82E-22A226ABED86}">
      <text>
        <r>
          <rPr>
            <b/>
            <sz val="9"/>
            <color indexed="81"/>
            <rFont val="Tahoma"/>
            <family val="2"/>
          </rPr>
          <t>JPrairie:</t>
        </r>
        <r>
          <rPr>
            <sz val="9"/>
            <color indexed="81"/>
            <rFont val="Tahoma"/>
            <family val="2"/>
          </rPr>
          <t xml:space="preserve">
This average represent the CBRFC's climate period for average percent reporting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prairie</author>
    <author>JPrairie</author>
  </authors>
  <commentList>
    <comment ref="B118" authorId="0" shapeId="0" xr:uid="{9FDDCA04-C5F6-4B68-9438-2A2EF0233667}">
      <text>
        <r>
          <rPr>
            <b/>
            <sz val="8"/>
            <color indexed="81"/>
            <rFont val="Tahoma"/>
            <family val="2"/>
          </rPr>
          <t xml:space="preserve"> cfelletter:</t>
        </r>
        <r>
          <rPr>
            <sz val="8"/>
            <color indexed="81"/>
            <rFont val="Tahoma"/>
            <family val="2"/>
          </rPr>
          <t xml:space="preserve">
current natural flows dated 2022-04-20 from 1906-2020
 available at http://www.usbr.gov/lc/region/g4000/NaturalFlow/index.html</t>
        </r>
      </text>
    </comment>
    <comment ref="B119" authorId="0" shapeId="0" xr:uid="{71B7F97B-5AFA-4F80-AB2F-CA9DD8E9318D}">
      <text>
        <r>
          <rPr>
            <b/>
            <sz val="8"/>
            <color indexed="81"/>
            <rFont val="Tahoma"/>
            <family val="2"/>
          </rPr>
          <t>cfelletter:</t>
        </r>
        <r>
          <rPr>
            <sz val="8"/>
            <color indexed="81"/>
            <rFont val="Tahoma"/>
            <family val="2"/>
          </rPr>
          <t xml:space="preserve">
provisional natural flow </t>
        </r>
      </text>
    </comment>
    <comment ref="B120" authorId="0" shapeId="0" xr:uid="{2507F033-EAE2-429D-9937-96011CD37C51}">
      <text>
        <r>
          <rPr>
            <b/>
            <sz val="8"/>
            <color indexed="81"/>
            <rFont val="Tahoma"/>
            <family val="2"/>
          </rPr>
          <t>cfelletter:</t>
        </r>
        <r>
          <rPr>
            <sz val="8"/>
            <color indexed="81"/>
            <rFont val="Tahoma"/>
            <family val="2"/>
          </rPr>
          <t xml:space="preserve">
preliminary provisional natural flow based on a 67% unregulated inflow into Powell (based on April 2022 - 24 month study) which approximately translates to a 76% natural flow year times the CY 1991-2019 natural flow average of 13.610 MAF</t>
        </r>
      </text>
    </comment>
    <comment ref="A124" authorId="1" shapeId="0" xr:uid="{647F097E-6C87-4991-8463-8A9EE766B034}">
      <text>
        <r>
          <rPr>
            <b/>
            <sz val="9"/>
            <color indexed="81"/>
            <rFont val="Tahoma"/>
            <family val="2"/>
          </rPr>
          <t>JPrairie:</t>
        </r>
        <r>
          <rPr>
            <sz val="9"/>
            <color indexed="81"/>
            <rFont val="Tahoma"/>
            <family val="2"/>
          </rPr>
          <t xml:space="preserve">
This average represent the CBRFC's climate period for average percent reporting</t>
        </r>
      </text>
    </comment>
  </commentList>
</comments>
</file>

<file path=xl/sharedStrings.xml><?xml version="1.0" encoding="utf-8"?>
<sst xmlns="http://schemas.openxmlformats.org/spreadsheetml/2006/main" count="10" uniqueCount="7">
  <si>
    <t>(AF)</t>
  </si>
  <si>
    <t>WY Lees Ferry Natural Flow</t>
  </si>
  <si>
    <t>CY Lees Ferry Natural Flow</t>
  </si>
  <si>
    <t>1906-2020 average</t>
  </si>
  <si>
    <t>1991-2020 average</t>
  </si>
  <si>
    <t>Last Updated 5/4/2022</t>
  </si>
  <si>
    <t>5/4: Updated 71-20 with 2020 NFs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</si>
</sst>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indexed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2" fillId="0" borderId="0" applyFill="0" applyBorder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</cellStyleXfs>
  <cellXfs count="18">
    <xf numFmtId="0" fontId="0" fillId="0" borderId="0" xfId="0"/>
    <xf numFmtId="0" fontId="3" fillId="0" borderId="0" xfId="0" applyFont="1"/>
    <xf numFmtId="164" fontId="0" fillId="0" borderId="0" xfId="1" applyNumberFormat="1" applyFont="1"/>
    <xf numFmtId="0" fontId="3" fillId="0" borderId="0" xfId="0" applyFont="1" applyAlignment="1">
      <alignment horizontal="center"/>
    </xf>
    <xf numFmtId="164" fontId="2" fillId="0" borderId="0" xfId="1" applyNumberFormat="1"/>
    <xf numFmtId="0" fontId="2" fillId="2" borderId="0" xfId="2" applyFill="1"/>
    <xf numFmtId="0" fontId="3" fillId="0" borderId="0" xfId="0" applyFont="1" applyAlignment="1">
      <alignment horizontal="center" wrapText="1"/>
    </xf>
    <xf numFmtId="164" fontId="2" fillId="0" borderId="0" xfId="1" applyNumberFormat="1" applyFont="1"/>
    <xf numFmtId="164" fontId="2" fillId="0" borderId="0" xfId="1" applyNumberFormat="1" applyFont="1" applyFill="1"/>
    <xf numFmtId="3" fontId="0" fillId="0" borderId="0" xfId="0" applyNumberFormat="1"/>
    <xf numFmtId="164" fontId="0" fillId="0" borderId="0" xfId="0" applyNumberFormat="1"/>
    <xf numFmtId="0" fontId="2" fillId="0" borderId="0" xfId="0" applyFont="1"/>
    <xf numFmtId="14" fontId="0" fillId="0" borderId="0" xfId="0" applyNumberFormat="1" applyAlignment="1">
      <alignment horizontal="left" vertical="top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vertical="center" wrapText="1"/>
    </xf>
    <xf numFmtId="164" fontId="10" fillId="0" borderId="0" xfId="1" applyNumberFormat="1" applyFont="1" applyFill="1"/>
    <xf numFmtId="164" fontId="12" fillId="0" borderId="0" xfId="1" applyNumberFormat="1" applyFont="1"/>
    <xf numFmtId="37" fontId="11" fillId="0" borderId="0" xfId="6" applyNumberFormat="1" applyFont="1"/>
  </cellXfs>
  <cellStyles count="8">
    <cellStyle name="Comma" xfId="1" builtinId="3"/>
    <cellStyle name="Normal" xfId="0" builtinId="0"/>
    <cellStyle name="Normal 2" xfId="5" xr:uid="{9357BD51-B8F0-4414-A217-5C7505BC1E74}"/>
    <cellStyle name="Normal 2 2" xfId="7" xr:uid="{183FE737-3E30-4523-BFC7-A88C3D9B0D03}"/>
    <cellStyle name="Normal 3" xfId="6" xr:uid="{16976685-5608-4ADA-A0E7-9AE2A697A80B}"/>
    <cellStyle name="Normal 4" xfId="3" xr:uid="{A6B52F6B-ECEF-4885-99D3-7B8CD0E40BB4}"/>
    <cellStyle name="Normal no grid" xfId="2" xr:uid="{00000000-0005-0000-0000-000002000000}"/>
    <cellStyle name="Percent 2" xfId="4" xr:uid="{512EEE07-0B54-475E-8D43-262404E731F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</a:t>
            </a:r>
            <a:r>
              <a:rPr lang="en-US" baseline="0"/>
              <a:t> Natural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'Calendar Year'!$A$98:$A$119</c:f>
              <c:numCache>
                <c:formatCode>General</c:formatCod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numCache>
            </c:numRef>
          </c:xVal>
          <c:yVal>
            <c:numRef>
              <c:f>'Calendar Year'!$B$98:$B$119</c:f>
              <c:numCache>
                <c:formatCode>_(* #,##0_);_(* \(#,##0\);_(* "-"??_);_(@_)</c:formatCode>
                <c:ptCount val="22"/>
                <c:pt idx="0">
                  <c:v>10552048</c:v>
                </c:pt>
                <c:pt idx="1">
                  <c:v>10736472</c:v>
                </c:pt>
                <c:pt idx="2">
                  <c:v>6088898</c:v>
                </c:pt>
                <c:pt idx="3">
                  <c:v>10631982</c:v>
                </c:pt>
                <c:pt idx="4">
                  <c:v>10073294</c:v>
                </c:pt>
                <c:pt idx="5">
                  <c:v>16892826</c:v>
                </c:pt>
                <c:pt idx="6">
                  <c:v>13503058</c:v>
                </c:pt>
                <c:pt idx="7">
                  <c:v>11453434</c:v>
                </c:pt>
                <c:pt idx="8">
                  <c:v>16003494</c:v>
                </c:pt>
                <c:pt idx="9">
                  <c:v>14089935</c:v>
                </c:pt>
                <c:pt idx="10">
                  <c:v>12708981</c:v>
                </c:pt>
                <c:pt idx="11">
                  <c:v>20255837</c:v>
                </c:pt>
                <c:pt idx="12">
                  <c:v>7894617</c:v>
                </c:pt>
                <c:pt idx="13">
                  <c:v>9727038</c:v>
                </c:pt>
                <c:pt idx="14">
                  <c:v>14246418</c:v>
                </c:pt>
                <c:pt idx="15">
                  <c:v>13016510</c:v>
                </c:pt>
                <c:pt idx="16">
                  <c:v>13418887</c:v>
                </c:pt>
                <c:pt idx="17">
                  <c:v>16295677</c:v>
                </c:pt>
                <c:pt idx="18">
                  <c:v>8440936</c:v>
                </c:pt>
                <c:pt idx="19">
                  <c:v>17721374</c:v>
                </c:pt>
                <c:pt idx="20">
                  <c:v>9558765</c:v>
                </c:pt>
                <c:pt idx="21" formatCode="#,##0_);\(#,##0\)">
                  <c:v>6732682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E5-4DC5-8C70-60CADD6CB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320447"/>
        <c:axId val="965306303"/>
      </c:scatterChart>
      <c:valAx>
        <c:axId val="96532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306303"/>
        <c:crosses val="autoZero"/>
        <c:crossBetween val="midCat"/>
      </c:valAx>
      <c:valAx>
        <c:axId val="96530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32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28574</xdr:colOff>
      <xdr:row>93</xdr:row>
      <xdr:rowOff>133350</xdr:rowOff>
    </xdr:from>
    <xdr:to>
      <xdr:col>21</xdr:col>
      <xdr:colOff>61911</xdr:colOff>
      <xdr:row>118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7B226-1930-F900-AA56-ECC3A3469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137161</xdr:rowOff>
    </xdr:from>
    <xdr:to>
      <xdr:col>11</xdr:col>
      <xdr:colOff>121046</xdr:colOff>
      <xdr:row>54</xdr:row>
      <xdr:rowOff>136030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7746B6-4947-4D19-8F53-CADD27588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7161"/>
          <a:ext cx="6994286" cy="905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563880</xdr:colOff>
      <xdr:row>0</xdr:row>
      <xdr:rowOff>137160</xdr:rowOff>
    </xdr:from>
    <xdr:to>
      <xdr:col>22</xdr:col>
      <xdr:colOff>60086</xdr:colOff>
      <xdr:row>54</xdr:row>
      <xdr:rowOff>136029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BE41E5-631D-4AF6-88F1-9F6B59296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2280" y="137160"/>
          <a:ext cx="6994286" cy="9051429"/>
        </a:xfrm>
        <a:prstGeom prst="rect">
          <a:avLst/>
        </a:prstGeom>
      </xdr:spPr>
    </xdr:pic>
    <xdr:clientData/>
  </xdr:twoCellAnchor>
  <xdr:twoCellAnchor editAs="oneCell">
    <xdr:from>
      <xdr:col>21</xdr:col>
      <xdr:colOff>245534</xdr:colOff>
      <xdr:row>0</xdr:row>
      <xdr:rowOff>135467</xdr:rowOff>
    </xdr:from>
    <xdr:to>
      <xdr:col>32</xdr:col>
      <xdr:colOff>361612</xdr:colOff>
      <xdr:row>54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3E9A54-9D40-407D-90A2-EA065BBEE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02734" y="135467"/>
          <a:ext cx="7007945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"/>
  <sheetViews>
    <sheetView zoomScaleNormal="100" workbookViewId="0">
      <pane xSplit="1" ySplit="3" topLeftCell="B106" activePane="bottomRight" state="frozen"/>
      <selection pane="topRight" activeCell="B1" sqref="B1"/>
      <selection pane="bottomLeft" activeCell="A4" sqref="A4"/>
      <selection pane="bottomRight" activeCell="B119" sqref="B119"/>
    </sheetView>
  </sheetViews>
  <sheetFormatPr defaultRowHeight="12.75" x14ac:dyDescent="0.2"/>
  <cols>
    <col min="1" max="1" width="17.7109375" customWidth="1"/>
    <col min="2" max="2" width="14.7109375" customWidth="1"/>
    <col min="3" max="3" width="10.42578125" bestFit="1" customWidth="1"/>
    <col min="5" max="6" width="12.28515625" customWidth="1"/>
    <col min="7" max="7" width="11.85546875" customWidth="1"/>
    <col min="8" max="8" width="13.140625" customWidth="1"/>
    <col min="10" max="10" width="12.85546875" customWidth="1"/>
  </cols>
  <sheetData>
    <row r="1" spans="1:10" ht="18" customHeight="1" x14ac:dyDescent="0.2">
      <c r="A1" s="13" t="s">
        <v>5</v>
      </c>
      <c r="B1" s="14"/>
    </row>
    <row r="2" spans="1:10" ht="25.5" customHeight="1" x14ac:dyDescent="0.2">
      <c r="A2" s="12"/>
      <c r="B2" s="6" t="s">
        <v>1</v>
      </c>
    </row>
    <row r="3" spans="1:10" x14ac:dyDescent="0.2">
      <c r="B3" s="3" t="s">
        <v>0</v>
      </c>
      <c r="C3" s="11"/>
      <c r="E3" s="11"/>
      <c r="F3" s="11"/>
      <c r="G3" s="11"/>
      <c r="H3" s="11"/>
      <c r="I3" s="11"/>
      <c r="J3" s="11"/>
    </row>
    <row r="4" spans="1:10" x14ac:dyDescent="0.2">
      <c r="A4" s="1">
        <v>1906</v>
      </c>
      <c r="B4" s="2">
        <v>18214678</v>
      </c>
    </row>
    <row r="5" spans="1:10" x14ac:dyDescent="0.2">
      <c r="A5" s="1">
        <v>1907</v>
      </c>
      <c r="B5" s="2">
        <v>21234305</v>
      </c>
    </row>
    <row r="6" spans="1:10" x14ac:dyDescent="0.2">
      <c r="A6" s="1">
        <v>1908</v>
      </c>
      <c r="B6" s="2">
        <v>11773952</v>
      </c>
    </row>
    <row r="7" spans="1:10" x14ac:dyDescent="0.2">
      <c r="A7" s="1">
        <v>1909</v>
      </c>
      <c r="B7" s="2">
        <v>21841427</v>
      </c>
    </row>
    <row r="8" spans="1:10" x14ac:dyDescent="0.2">
      <c r="A8" s="1">
        <v>1910</v>
      </c>
      <c r="B8" s="2">
        <v>14736670</v>
      </c>
      <c r="E8" s="10"/>
      <c r="F8" s="10"/>
      <c r="G8" s="10"/>
    </row>
    <row r="9" spans="1:10" x14ac:dyDescent="0.2">
      <c r="A9" s="1">
        <v>1911</v>
      </c>
      <c r="B9" s="2">
        <v>15125081</v>
      </c>
      <c r="E9" s="10"/>
      <c r="F9" s="10"/>
      <c r="G9" s="10"/>
    </row>
    <row r="10" spans="1:10" x14ac:dyDescent="0.2">
      <c r="A10" s="1">
        <v>1912</v>
      </c>
      <c r="B10" s="2">
        <v>19082127</v>
      </c>
      <c r="E10" s="10"/>
      <c r="F10" s="10"/>
      <c r="G10" s="10"/>
    </row>
    <row r="11" spans="1:10" x14ac:dyDescent="0.2">
      <c r="A11" s="1">
        <v>1913</v>
      </c>
      <c r="B11" s="2">
        <v>14472192</v>
      </c>
      <c r="E11" s="10"/>
      <c r="F11" s="10"/>
      <c r="G11" s="10"/>
    </row>
    <row r="12" spans="1:10" x14ac:dyDescent="0.2">
      <c r="A12" s="1">
        <v>1914</v>
      </c>
      <c r="B12" s="2">
        <v>21066767</v>
      </c>
      <c r="E12" s="10"/>
      <c r="F12" s="10"/>
      <c r="G12" s="10"/>
    </row>
    <row r="13" spans="1:10" x14ac:dyDescent="0.2">
      <c r="A13" s="1">
        <v>1915</v>
      </c>
      <c r="B13" s="2">
        <v>14137603</v>
      </c>
      <c r="E13" s="10"/>
      <c r="F13" s="10"/>
      <c r="G13" s="10"/>
      <c r="H13" s="10"/>
    </row>
    <row r="14" spans="1:10" x14ac:dyDescent="0.2">
      <c r="A14" s="1">
        <v>1916</v>
      </c>
      <c r="B14" s="2">
        <v>19187542</v>
      </c>
      <c r="E14" s="10"/>
      <c r="F14" s="10"/>
      <c r="G14" s="10"/>
      <c r="H14" s="10"/>
    </row>
    <row r="15" spans="1:10" x14ac:dyDescent="0.2">
      <c r="A15" s="1">
        <v>1917</v>
      </c>
      <c r="B15" s="2">
        <v>23849259</v>
      </c>
      <c r="E15" s="10"/>
      <c r="F15" s="10"/>
      <c r="G15" s="10"/>
      <c r="H15" s="10"/>
    </row>
    <row r="16" spans="1:10" x14ac:dyDescent="0.2">
      <c r="A16" s="1">
        <v>1918</v>
      </c>
      <c r="B16" s="2">
        <v>15750724</v>
      </c>
      <c r="E16" s="10"/>
      <c r="F16" s="10"/>
      <c r="G16" s="10"/>
      <c r="H16" s="10"/>
    </row>
    <row r="17" spans="1:8" x14ac:dyDescent="0.2">
      <c r="A17" s="1">
        <v>1919</v>
      </c>
      <c r="B17" s="2">
        <v>12951469</v>
      </c>
      <c r="E17" s="10"/>
      <c r="F17" s="10"/>
      <c r="G17" s="10"/>
      <c r="H17" s="10"/>
    </row>
    <row r="18" spans="1:8" x14ac:dyDescent="0.2">
      <c r="A18" s="1">
        <v>1920</v>
      </c>
      <c r="B18" s="2">
        <v>21927976</v>
      </c>
      <c r="E18" s="10"/>
      <c r="F18" s="10"/>
      <c r="G18" s="10"/>
      <c r="H18" s="10"/>
    </row>
    <row r="19" spans="1:8" x14ac:dyDescent="0.2">
      <c r="A19" s="1">
        <v>1921</v>
      </c>
      <c r="B19" s="2">
        <v>22703070</v>
      </c>
      <c r="E19" s="10"/>
      <c r="F19" s="10"/>
      <c r="G19" s="10"/>
      <c r="H19" s="10"/>
    </row>
    <row r="20" spans="1:8" x14ac:dyDescent="0.2">
      <c r="A20" s="1">
        <v>1922</v>
      </c>
      <c r="B20" s="2">
        <v>18524420</v>
      </c>
      <c r="E20" s="10"/>
      <c r="F20" s="10"/>
      <c r="G20" s="10"/>
      <c r="H20" s="10"/>
    </row>
    <row r="21" spans="1:8" x14ac:dyDescent="0.2">
      <c r="A21" s="1">
        <v>1923</v>
      </c>
      <c r="B21" s="2">
        <v>18327468</v>
      </c>
      <c r="E21" s="10"/>
      <c r="F21" s="10"/>
      <c r="G21" s="10"/>
      <c r="H21" s="10"/>
    </row>
    <row r="22" spans="1:8" x14ac:dyDescent="0.2">
      <c r="A22" s="1">
        <v>1924</v>
      </c>
      <c r="B22" s="2">
        <v>14650942</v>
      </c>
      <c r="E22" s="10"/>
      <c r="F22" s="10"/>
      <c r="G22" s="10"/>
      <c r="H22" s="10"/>
    </row>
    <row r="23" spans="1:8" x14ac:dyDescent="0.2">
      <c r="A23" s="1">
        <v>1925</v>
      </c>
      <c r="B23" s="2">
        <v>13514438</v>
      </c>
      <c r="E23" s="10"/>
      <c r="F23" s="10"/>
      <c r="G23" s="10"/>
      <c r="H23" s="10"/>
    </row>
    <row r="24" spans="1:8" x14ac:dyDescent="0.2">
      <c r="A24" s="1">
        <v>1926</v>
      </c>
      <c r="B24" s="2">
        <v>16248626</v>
      </c>
      <c r="E24" s="10"/>
      <c r="F24" s="10"/>
      <c r="G24" s="10"/>
      <c r="H24" s="10"/>
    </row>
    <row r="25" spans="1:8" x14ac:dyDescent="0.2">
      <c r="A25" s="1">
        <v>1927</v>
      </c>
      <c r="B25" s="2">
        <v>18689765</v>
      </c>
      <c r="E25" s="10"/>
      <c r="F25" s="10"/>
      <c r="G25" s="10"/>
      <c r="H25" s="10"/>
    </row>
    <row r="26" spans="1:8" x14ac:dyDescent="0.2">
      <c r="A26" s="1">
        <v>1928</v>
      </c>
      <c r="B26" s="2">
        <v>17770602</v>
      </c>
      <c r="E26" s="10"/>
      <c r="F26" s="10"/>
      <c r="G26" s="10"/>
      <c r="H26" s="10"/>
    </row>
    <row r="27" spans="1:8" x14ac:dyDescent="0.2">
      <c r="A27" s="1">
        <v>1929</v>
      </c>
      <c r="B27" s="2">
        <v>21791156</v>
      </c>
      <c r="E27" s="10"/>
      <c r="F27" s="10"/>
      <c r="G27" s="10"/>
      <c r="H27" s="10"/>
    </row>
    <row r="28" spans="1:8" x14ac:dyDescent="0.2">
      <c r="A28" s="1">
        <v>1930</v>
      </c>
      <c r="B28" s="2">
        <v>15130571</v>
      </c>
      <c r="E28" s="10"/>
      <c r="F28" s="10"/>
      <c r="G28" s="10"/>
      <c r="H28" s="10"/>
    </row>
    <row r="29" spans="1:8" x14ac:dyDescent="0.2">
      <c r="A29" s="1">
        <v>1931</v>
      </c>
      <c r="B29" s="2">
        <v>8868682</v>
      </c>
      <c r="E29" s="10"/>
      <c r="F29" s="10"/>
      <c r="G29" s="10"/>
      <c r="H29" s="10"/>
    </row>
    <row r="30" spans="1:8" x14ac:dyDescent="0.2">
      <c r="A30" s="1">
        <v>1932</v>
      </c>
      <c r="B30" s="2">
        <v>17809509</v>
      </c>
      <c r="E30" s="10"/>
      <c r="F30" s="10"/>
      <c r="G30" s="10"/>
      <c r="H30" s="10"/>
    </row>
    <row r="31" spans="1:8" x14ac:dyDescent="0.2">
      <c r="A31" s="1">
        <v>1933</v>
      </c>
      <c r="B31" s="2">
        <v>12312744</v>
      </c>
      <c r="E31" s="10"/>
      <c r="F31" s="10"/>
      <c r="G31" s="10"/>
      <c r="H31" s="10"/>
    </row>
    <row r="32" spans="1:8" x14ac:dyDescent="0.2">
      <c r="A32" s="1">
        <v>1934</v>
      </c>
      <c r="B32" s="2">
        <v>6589700</v>
      </c>
      <c r="E32" s="10"/>
      <c r="F32" s="10"/>
      <c r="G32" s="10"/>
      <c r="H32" s="10"/>
    </row>
    <row r="33" spans="1:8" x14ac:dyDescent="0.2">
      <c r="A33" s="1">
        <v>1935</v>
      </c>
      <c r="B33" s="2">
        <v>12248940</v>
      </c>
      <c r="E33" s="10"/>
      <c r="F33" s="10"/>
      <c r="G33" s="10"/>
      <c r="H33" s="10"/>
    </row>
    <row r="34" spans="1:8" x14ac:dyDescent="0.2">
      <c r="A34" s="1">
        <v>1936</v>
      </c>
      <c r="B34" s="2">
        <v>14521432</v>
      </c>
      <c r="E34" s="10"/>
      <c r="F34" s="10"/>
      <c r="G34" s="10"/>
      <c r="H34" s="10"/>
    </row>
    <row r="35" spans="1:8" x14ac:dyDescent="0.2">
      <c r="A35" s="1">
        <v>1937</v>
      </c>
      <c r="B35" s="2">
        <v>14159154</v>
      </c>
      <c r="E35" s="10"/>
      <c r="F35" s="10"/>
      <c r="G35" s="10"/>
      <c r="H35" s="10"/>
    </row>
    <row r="36" spans="1:8" x14ac:dyDescent="0.2">
      <c r="A36" s="1">
        <v>1938</v>
      </c>
      <c r="B36" s="2">
        <v>17918453</v>
      </c>
      <c r="E36" s="10"/>
      <c r="F36" s="10"/>
      <c r="G36" s="10"/>
      <c r="H36" s="10"/>
    </row>
    <row r="37" spans="1:8" x14ac:dyDescent="0.2">
      <c r="A37" s="1">
        <v>1939</v>
      </c>
      <c r="B37" s="2">
        <v>11699708</v>
      </c>
      <c r="E37" s="10"/>
      <c r="F37" s="10"/>
      <c r="G37" s="10"/>
      <c r="H37" s="10"/>
    </row>
    <row r="38" spans="1:8" x14ac:dyDescent="0.2">
      <c r="A38" s="1">
        <v>1940</v>
      </c>
      <c r="B38" s="2">
        <v>9422918</v>
      </c>
      <c r="E38" s="10"/>
      <c r="F38" s="10"/>
      <c r="G38" s="10"/>
      <c r="H38" s="10"/>
    </row>
    <row r="39" spans="1:8" x14ac:dyDescent="0.2">
      <c r="A39" s="1">
        <v>1941</v>
      </c>
      <c r="B39" s="2">
        <v>18269619</v>
      </c>
      <c r="E39" s="10"/>
      <c r="F39" s="10"/>
      <c r="G39" s="10"/>
      <c r="H39" s="10"/>
    </row>
    <row r="40" spans="1:8" x14ac:dyDescent="0.2">
      <c r="A40" s="1">
        <v>1942</v>
      </c>
      <c r="B40" s="2">
        <v>19333147</v>
      </c>
      <c r="E40" s="10"/>
      <c r="F40" s="10"/>
      <c r="G40" s="10"/>
      <c r="H40" s="10"/>
    </row>
    <row r="41" spans="1:8" x14ac:dyDescent="0.2">
      <c r="A41" s="1">
        <v>1943</v>
      </c>
      <c r="B41" s="2">
        <v>13613558</v>
      </c>
      <c r="E41" s="10"/>
      <c r="F41" s="10"/>
      <c r="G41" s="10"/>
      <c r="H41" s="10"/>
    </row>
    <row r="42" spans="1:8" x14ac:dyDescent="0.2">
      <c r="A42" s="1">
        <v>1944</v>
      </c>
      <c r="B42" s="2">
        <v>15422647</v>
      </c>
      <c r="E42" s="10"/>
      <c r="F42" s="10"/>
      <c r="G42" s="10"/>
      <c r="H42" s="10"/>
    </row>
    <row r="43" spans="1:8" x14ac:dyDescent="0.2">
      <c r="A43" s="1">
        <v>1945</v>
      </c>
      <c r="B43" s="2">
        <v>14040218</v>
      </c>
      <c r="E43" s="10"/>
      <c r="F43" s="10"/>
      <c r="G43" s="10"/>
      <c r="H43" s="10"/>
    </row>
    <row r="44" spans="1:8" x14ac:dyDescent="0.2">
      <c r="A44" s="1">
        <v>1946</v>
      </c>
      <c r="B44" s="2">
        <v>11000258</v>
      </c>
      <c r="E44" s="10"/>
      <c r="F44" s="10"/>
      <c r="G44" s="10"/>
      <c r="H44" s="10"/>
    </row>
    <row r="45" spans="1:8" x14ac:dyDescent="0.2">
      <c r="A45" s="1">
        <v>1947</v>
      </c>
      <c r="B45" s="2">
        <v>15851265</v>
      </c>
      <c r="E45" s="10"/>
      <c r="F45" s="10"/>
      <c r="G45" s="10"/>
      <c r="H45" s="10"/>
    </row>
    <row r="46" spans="1:8" x14ac:dyDescent="0.2">
      <c r="A46" s="1">
        <v>1948</v>
      </c>
      <c r="B46" s="2">
        <v>15761665</v>
      </c>
      <c r="E46" s="10"/>
      <c r="F46" s="10"/>
      <c r="G46" s="10"/>
      <c r="H46" s="10"/>
    </row>
    <row r="47" spans="1:8" x14ac:dyDescent="0.2">
      <c r="A47" s="1">
        <v>1949</v>
      </c>
      <c r="B47" s="2">
        <v>16733517</v>
      </c>
      <c r="E47" s="10"/>
      <c r="F47" s="10"/>
      <c r="G47" s="10"/>
      <c r="H47" s="10"/>
    </row>
    <row r="48" spans="1:8" x14ac:dyDescent="0.2">
      <c r="A48" s="1">
        <v>1950</v>
      </c>
      <c r="B48" s="2">
        <v>13111501</v>
      </c>
      <c r="E48" s="10"/>
      <c r="F48" s="10"/>
      <c r="G48" s="10"/>
      <c r="H48" s="10"/>
    </row>
    <row r="49" spans="1:8" x14ac:dyDescent="0.2">
      <c r="A49" s="1">
        <v>1951</v>
      </c>
      <c r="B49" s="2">
        <v>12445707</v>
      </c>
      <c r="E49" s="10"/>
      <c r="F49" s="10"/>
      <c r="G49" s="10"/>
      <c r="H49" s="10"/>
    </row>
    <row r="50" spans="1:8" x14ac:dyDescent="0.2">
      <c r="A50" s="1">
        <v>1952</v>
      </c>
      <c r="B50" s="2">
        <v>20850053</v>
      </c>
      <c r="E50" s="10"/>
      <c r="F50" s="10"/>
      <c r="G50" s="10"/>
      <c r="H50" s="10"/>
    </row>
    <row r="51" spans="1:8" x14ac:dyDescent="0.2">
      <c r="A51" s="1">
        <v>1953</v>
      </c>
      <c r="B51" s="2">
        <v>11154855</v>
      </c>
      <c r="E51" s="10"/>
      <c r="F51" s="10"/>
      <c r="G51" s="10"/>
      <c r="H51" s="10"/>
    </row>
    <row r="52" spans="1:8" x14ac:dyDescent="0.2">
      <c r="A52" s="1">
        <v>1954</v>
      </c>
      <c r="B52" s="2">
        <v>8304000</v>
      </c>
      <c r="E52" s="10"/>
      <c r="F52" s="10"/>
      <c r="G52" s="10"/>
      <c r="H52" s="10"/>
    </row>
    <row r="53" spans="1:8" x14ac:dyDescent="0.2">
      <c r="A53" s="1">
        <v>1955</v>
      </c>
      <c r="B53" s="2">
        <v>9709235</v>
      </c>
      <c r="E53" s="10"/>
      <c r="F53" s="10"/>
      <c r="G53" s="10"/>
      <c r="H53" s="10"/>
    </row>
    <row r="54" spans="1:8" x14ac:dyDescent="0.2">
      <c r="A54" s="1">
        <v>1956</v>
      </c>
      <c r="B54" s="2">
        <v>11622348</v>
      </c>
      <c r="E54" s="10"/>
      <c r="F54" s="10"/>
      <c r="G54" s="10"/>
      <c r="H54" s="10"/>
    </row>
    <row r="55" spans="1:8" x14ac:dyDescent="0.2">
      <c r="A55" s="1">
        <v>1957</v>
      </c>
      <c r="B55" s="2">
        <v>20211418</v>
      </c>
      <c r="E55" s="10"/>
      <c r="F55" s="10"/>
      <c r="G55" s="10"/>
      <c r="H55" s="10"/>
    </row>
    <row r="56" spans="1:8" x14ac:dyDescent="0.2">
      <c r="A56" s="1">
        <v>1958</v>
      </c>
      <c r="B56" s="2">
        <v>16870816</v>
      </c>
      <c r="E56" s="10"/>
      <c r="F56" s="10"/>
      <c r="G56" s="10"/>
      <c r="H56" s="10"/>
    </row>
    <row r="57" spans="1:8" x14ac:dyDescent="0.2">
      <c r="A57" s="1">
        <v>1959</v>
      </c>
      <c r="B57" s="2">
        <v>9245100</v>
      </c>
      <c r="E57" s="10"/>
      <c r="F57" s="10"/>
      <c r="G57" s="10"/>
      <c r="H57" s="10"/>
    </row>
    <row r="58" spans="1:8" x14ac:dyDescent="0.2">
      <c r="A58" s="1">
        <v>1960</v>
      </c>
      <c r="B58" s="2">
        <v>11977277</v>
      </c>
      <c r="E58" s="10"/>
      <c r="F58" s="10"/>
      <c r="G58" s="10"/>
      <c r="H58" s="10"/>
    </row>
    <row r="59" spans="1:8" x14ac:dyDescent="0.2">
      <c r="A59" s="1">
        <v>1961</v>
      </c>
      <c r="B59" s="2">
        <v>9199061</v>
      </c>
      <c r="E59" s="10"/>
      <c r="F59" s="10"/>
      <c r="G59" s="10"/>
      <c r="H59" s="10"/>
    </row>
    <row r="60" spans="1:8" x14ac:dyDescent="0.2">
      <c r="A60" s="1">
        <v>1962</v>
      </c>
      <c r="B60" s="2">
        <v>17760809</v>
      </c>
      <c r="E60" s="10"/>
      <c r="F60" s="10"/>
      <c r="G60" s="10"/>
      <c r="H60" s="10"/>
    </row>
    <row r="61" spans="1:8" x14ac:dyDescent="0.2">
      <c r="A61" s="1">
        <v>1963</v>
      </c>
      <c r="B61" s="2">
        <v>9115209</v>
      </c>
      <c r="E61" s="10"/>
      <c r="F61" s="10"/>
      <c r="G61" s="10"/>
      <c r="H61" s="10"/>
    </row>
    <row r="62" spans="1:8" x14ac:dyDescent="0.2">
      <c r="A62" s="1">
        <v>1964</v>
      </c>
      <c r="B62" s="2">
        <v>10381353</v>
      </c>
      <c r="E62" s="10"/>
      <c r="F62" s="10"/>
      <c r="G62" s="10"/>
      <c r="H62" s="10"/>
    </row>
    <row r="63" spans="1:8" x14ac:dyDescent="0.2">
      <c r="A63" s="1">
        <v>1965</v>
      </c>
      <c r="B63" s="2">
        <v>18358969</v>
      </c>
      <c r="E63" s="10"/>
      <c r="F63" s="10"/>
      <c r="G63" s="10"/>
      <c r="H63" s="10"/>
    </row>
    <row r="64" spans="1:8" x14ac:dyDescent="0.2">
      <c r="A64" s="1">
        <v>1966</v>
      </c>
      <c r="B64" s="2">
        <v>11060726</v>
      </c>
      <c r="E64" s="10"/>
      <c r="F64" s="10"/>
      <c r="G64" s="10"/>
      <c r="H64" s="10"/>
    </row>
    <row r="65" spans="1:10" x14ac:dyDescent="0.2">
      <c r="A65" s="1">
        <v>1967</v>
      </c>
      <c r="B65" s="2">
        <v>11708544</v>
      </c>
      <c r="E65" s="10"/>
      <c r="F65" s="10"/>
      <c r="G65" s="10"/>
      <c r="H65" s="10"/>
    </row>
    <row r="66" spans="1:10" x14ac:dyDescent="0.2">
      <c r="A66" s="1">
        <v>1968</v>
      </c>
      <c r="B66" s="2">
        <v>13338625</v>
      </c>
      <c r="E66" s="10"/>
      <c r="F66" s="10"/>
      <c r="G66" s="10"/>
      <c r="H66" s="10"/>
      <c r="J66" s="10"/>
    </row>
    <row r="67" spans="1:10" x14ac:dyDescent="0.2">
      <c r="A67" s="1">
        <v>1969</v>
      </c>
      <c r="B67" s="2">
        <v>14452503</v>
      </c>
      <c r="E67" s="10"/>
      <c r="F67" s="10"/>
      <c r="G67" s="10"/>
      <c r="H67" s="10"/>
    </row>
    <row r="68" spans="1:10" x14ac:dyDescent="0.2">
      <c r="A68" s="1">
        <v>1970</v>
      </c>
      <c r="B68" s="2">
        <v>15055808</v>
      </c>
      <c r="E68" s="10"/>
      <c r="F68" s="10"/>
      <c r="G68" s="10"/>
      <c r="H68" s="10"/>
    </row>
    <row r="69" spans="1:10" x14ac:dyDescent="0.2">
      <c r="A69" s="1">
        <v>1971</v>
      </c>
      <c r="B69" s="2">
        <v>13232294</v>
      </c>
      <c r="E69" s="10"/>
      <c r="F69" s="10"/>
      <c r="G69" s="10"/>
      <c r="H69" s="10"/>
    </row>
    <row r="70" spans="1:10" x14ac:dyDescent="0.2">
      <c r="A70" s="1">
        <v>1972</v>
      </c>
      <c r="B70" s="2">
        <v>12436439</v>
      </c>
      <c r="E70" s="10"/>
      <c r="F70" s="10"/>
      <c r="G70" s="10"/>
      <c r="H70" s="10"/>
    </row>
    <row r="71" spans="1:10" x14ac:dyDescent="0.2">
      <c r="A71" s="1">
        <v>1973</v>
      </c>
      <c r="B71" s="2">
        <v>19137699</v>
      </c>
      <c r="E71" s="10"/>
      <c r="F71" s="10"/>
      <c r="G71" s="10"/>
      <c r="H71" s="10"/>
    </row>
    <row r="72" spans="1:10" x14ac:dyDescent="0.2">
      <c r="A72" s="1">
        <v>1974</v>
      </c>
      <c r="B72" s="2">
        <v>12956073</v>
      </c>
      <c r="E72" s="10"/>
      <c r="F72" s="10"/>
      <c r="G72" s="10"/>
      <c r="H72" s="10"/>
    </row>
    <row r="73" spans="1:10" x14ac:dyDescent="0.2">
      <c r="A73" s="1">
        <v>1975</v>
      </c>
      <c r="B73" s="2">
        <v>16530994</v>
      </c>
      <c r="E73" s="10"/>
      <c r="F73" s="10"/>
      <c r="G73" s="10"/>
      <c r="H73" s="10"/>
    </row>
    <row r="74" spans="1:10" x14ac:dyDescent="0.2">
      <c r="A74" s="1">
        <v>1976</v>
      </c>
      <c r="B74" s="2">
        <v>11205890</v>
      </c>
      <c r="E74" s="10"/>
      <c r="F74" s="10"/>
      <c r="G74" s="10"/>
      <c r="H74" s="10"/>
    </row>
    <row r="75" spans="1:10" x14ac:dyDescent="0.2">
      <c r="A75" s="1">
        <v>1977</v>
      </c>
      <c r="B75" s="2">
        <v>5520258</v>
      </c>
      <c r="E75" s="10"/>
      <c r="F75" s="10"/>
      <c r="G75" s="10"/>
      <c r="H75" s="10"/>
    </row>
    <row r="76" spans="1:10" x14ac:dyDescent="0.2">
      <c r="A76" s="1">
        <v>1978</v>
      </c>
      <c r="B76" s="2">
        <v>14854157</v>
      </c>
      <c r="E76" s="10"/>
      <c r="F76" s="10"/>
      <c r="G76" s="10"/>
      <c r="H76" s="10"/>
    </row>
    <row r="77" spans="1:10" x14ac:dyDescent="0.2">
      <c r="A77" s="1">
        <v>1979</v>
      </c>
      <c r="B77" s="2">
        <v>17549870</v>
      </c>
      <c r="E77" s="10"/>
      <c r="F77" s="10"/>
      <c r="G77" s="10"/>
      <c r="H77" s="10"/>
    </row>
    <row r="78" spans="1:10" x14ac:dyDescent="0.2">
      <c r="A78" s="1">
        <v>1980</v>
      </c>
      <c r="B78" s="2">
        <v>17265635</v>
      </c>
      <c r="E78" s="10"/>
      <c r="F78" s="10"/>
      <c r="G78" s="10"/>
      <c r="H78" s="10"/>
    </row>
    <row r="79" spans="1:10" x14ac:dyDescent="0.2">
      <c r="A79" s="1">
        <v>1981</v>
      </c>
      <c r="B79" s="2">
        <v>8680915</v>
      </c>
      <c r="E79" s="10"/>
      <c r="F79" s="10"/>
      <c r="G79" s="10"/>
      <c r="H79" s="10"/>
    </row>
    <row r="80" spans="1:10" x14ac:dyDescent="0.2">
      <c r="A80" s="1">
        <v>1982</v>
      </c>
      <c r="B80" s="2">
        <v>16668361</v>
      </c>
      <c r="E80" s="10"/>
      <c r="F80" s="10"/>
      <c r="G80" s="10"/>
      <c r="H80" s="10"/>
    </row>
    <row r="81" spans="1:8" x14ac:dyDescent="0.2">
      <c r="A81" s="1">
        <v>1983</v>
      </c>
      <c r="B81" s="2">
        <v>23703259</v>
      </c>
      <c r="E81" s="10"/>
      <c r="F81" s="10"/>
      <c r="G81" s="10"/>
      <c r="H81" s="10"/>
    </row>
    <row r="82" spans="1:8" x14ac:dyDescent="0.2">
      <c r="A82" s="1">
        <v>1984</v>
      </c>
      <c r="B82" s="2">
        <v>24180593</v>
      </c>
      <c r="E82" s="10"/>
      <c r="F82" s="10"/>
      <c r="G82" s="10"/>
      <c r="H82" s="10"/>
    </row>
    <row r="83" spans="1:8" x14ac:dyDescent="0.2">
      <c r="A83" s="1">
        <v>1985</v>
      </c>
      <c r="B83" s="2">
        <v>21060141</v>
      </c>
      <c r="E83" s="10"/>
      <c r="F83" s="10"/>
      <c r="G83" s="10"/>
      <c r="H83" s="10"/>
    </row>
    <row r="84" spans="1:8" x14ac:dyDescent="0.2">
      <c r="A84" s="1">
        <v>1986</v>
      </c>
      <c r="B84" s="2">
        <v>22363873</v>
      </c>
      <c r="E84" s="10"/>
      <c r="F84" s="10"/>
      <c r="G84" s="10"/>
      <c r="H84" s="10"/>
    </row>
    <row r="85" spans="1:8" x14ac:dyDescent="0.2">
      <c r="A85" s="1">
        <v>1987</v>
      </c>
      <c r="B85" s="2">
        <v>16608818</v>
      </c>
      <c r="E85" s="10"/>
      <c r="F85" s="10"/>
      <c r="G85" s="10"/>
      <c r="H85" s="10"/>
    </row>
    <row r="86" spans="1:8" x14ac:dyDescent="0.2">
      <c r="A86" s="1">
        <v>1988</v>
      </c>
      <c r="B86" s="2">
        <v>11680125</v>
      </c>
      <c r="E86" s="10"/>
      <c r="F86" s="10"/>
      <c r="G86" s="10"/>
      <c r="H86" s="10"/>
    </row>
    <row r="87" spans="1:8" x14ac:dyDescent="0.2">
      <c r="A87" s="1">
        <v>1989</v>
      </c>
      <c r="B87" s="2">
        <v>9598351</v>
      </c>
      <c r="E87" s="10"/>
      <c r="F87" s="10"/>
      <c r="G87" s="10"/>
      <c r="H87" s="10"/>
    </row>
    <row r="88" spans="1:8" x14ac:dyDescent="0.2">
      <c r="A88" s="1">
        <v>1990</v>
      </c>
      <c r="B88" s="2">
        <v>9002419</v>
      </c>
      <c r="E88" s="10"/>
      <c r="F88" s="10"/>
      <c r="G88" s="10"/>
      <c r="H88" s="10"/>
    </row>
    <row r="89" spans="1:8" x14ac:dyDescent="0.2">
      <c r="A89" s="1">
        <v>1991</v>
      </c>
      <c r="B89" s="2">
        <v>12345551</v>
      </c>
      <c r="E89" s="10"/>
      <c r="F89" s="10"/>
      <c r="G89" s="10"/>
      <c r="H89" s="10"/>
    </row>
    <row r="90" spans="1:8" x14ac:dyDescent="0.2">
      <c r="A90" s="1">
        <v>1992</v>
      </c>
      <c r="B90" s="2">
        <v>11095359</v>
      </c>
      <c r="E90" s="10"/>
      <c r="F90" s="10"/>
      <c r="G90" s="10"/>
      <c r="H90" s="10"/>
    </row>
    <row r="91" spans="1:8" x14ac:dyDescent="0.2">
      <c r="A91" s="1">
        <v>1993</v>
      </c>
      <c r="B91" s="2">
        <v>18626744</v>
      </c>
      <c r="E91" s="10"/>
      <c r="F91" s="10"/>
      <c r="G91" s="10"/>
      <c r="H91" s="10"/>
    </row>
    <row r="92" spans="1:8" x14ac:dyDescent="0.2">
      <c r="A92" s="1">
        <v>1994</v>
      </c>
      <c r="B92" s="2">
        <v>10644076</v>
      </c>
      <c r="E92" s="10"/>
      <c r="F92" s="10"/>
      <c r="G92" s="10"/>
      <c r="H92" s="10"/>
    </row>
    <row r="93" spans="1:8" x14ac:dyDescent="0.2">
      <c r="A93" s="1">
        <v>1995</v>
      </c>
      <c r="B93" s="2">
        <v>19798897</v>
      </c>
      <c r="E93" s="10"/>
      <c r="F93" s="10"/>
      <c r="G93" s="10"/>
      <c r="H93" s="10"/>
    </row>
    <row r="94" spans="1:8" x14ac:dyDescent="0.2">
      <c r="A94" s="1">
        <v>1996</v>
      </c>
      <c r="B94" s="2">
        <v>14065856</v>
      </c>
      <c r="E94" s="10"/>
      <c r="F94" s="10"/>
      <c r="G94" s="10"/>
      <c r="H94" s="10"/>
    </row>
    <row r="95" spans="1:8" x14ac:dyDescent="0.2">
      <c r="A95" s="1">
        <v>1997</v>
      </c>
      <c r="B95" s="2">
        <v>21149057</v>
      </c>
      <c r="E95" s="10"/>
      <c r="F95" s="10"/>
      <c r="G95" s="10"/>
      <c r="H95" s="10"/>
    </row>
    <row r="96" spans="1:8" x14ac:dyDescent="0.2">
      <c r="A96" s="1">
        <v>1998</v>
      </c>
      <c r="B96" s="2">
        <v>16967840</v>
      </c>
      <c r="E96" s="10"/>
      <c r="F96" s="10"/>
      <c r="G96" s="10"/>
      <c r="H96" s="10"/>
    </row>
    <row r="97" spans="1:10" x14ac:dyDescent="0.2">
      <c r="A97" s="1">
        <v>1999</v>
      </c>
      <c r="B97" s="2">
        <v>16432590</v>
      </c>
      <c r="E97" s="10"/>
      <c r="F97" s="10"/>
      <c r="G97" s="10"/>
      <c r="H97" s="10"/>
    </row>
    <row r="98" spans="1:10" x14ac:dyDescent="0.2">
      <c r="A98" s="1">
        <v>2000</v>
      </c>
      <c r="B98" s="2">
        <v>10562121</v>
      </c>
      <c r="E98" s="10"/>
      <c r="F98" s="10"/>
      <c r="G98" s="10"/>
      <c r="H98" s="10"/>
    </row>
    <row r="99" spans="1:10" x14ac:dyDescent="0.2">
      <c r="A99" s="1">
        <v>2001</v>
      </c>
      <c r="B99" s="2">
        <v>11039619</v>
      </c>
      <c r="E99" s="10"/>
      <c r="F99" s="10"/>
      <c r="G99" s="10"/>
      <c r="H99" s="10"/>
    </row>
    <row r="100" spans="1:10" x14ac:dyDescent="0.2">
      <c r="A100" s="1">
        <v>2002</v>
      </c>
      <c r="B100" s="2">
        <v>5933262</v>
      </c>
      <c r="E100" s="10"/>
      <c r="F100" s="10"/>
      <c r="G100" s="10"/>
      <c r="H100" s="10"/>
    </row>
    <row r="101" spans="1:10" x14ac:dyDescent="0.2">
      <c r="A101" s="1">
        <v>2003</v>
      </c>
      <c r="B101" s="2">
        <v>10531981</v>
      </c>
      <c r="E101" s="10"/>
      <c r="F101" s="10"/>
      <c r="G101" s="10"/>
      <c r="H101" s="10"/>
    </row>
    <row r="102" spans="1:10" x14ac:dyDescent="0.2">
      <c r="A102" s="1">
        <v>2004</v>
      </c>
      <c r="B102" s="2">
        <v>9593965</v>
      </c>
      <c r="E102" s="10"/>
      <c r="F102" s="10"/>
      <c r="G102" s="10"/>
      <c r="H102" s="10"/>
    </row>
    <row r="103" spans="1:10" x14ac:dyDescent="0.2">
      <c r="A103" s="1">
        <v>2005</v>
      </c>
      <c r="B103" s="2">
        <v>16892372</v>
      </c>
      <c r="E103" s="10"/>
      <c r="F103" s="10"/>
      <c r="G103" s="10"/>
      <c r="H103" s="10"/>
    </row>
    <row r="104" spans="1:10" x14ac:dyDescent="0.2">
      <c r="A104" s="1">
        <v>2006</v>
      </c>
      <c r="B104" s="2">
        <v>12613818</v>
      </c>
      <c r="E104" s="10"/>
      <c r="F104" s="10"/>
      <c r="G104" s="10"/>
      <c r="H104" s="10"/>
    </row>
    <row r="105" spans="1:10" x14ac:dyDescent="0.2">
      <c r="A105" s="1">
        <v>2007</v>
      </c>
      <c r="B105" s="2">
        <v>12556005</v>
      </c>
      <c r="E105" s="10"/>
      <c r="F105" s="10"/>
      <c r="G105" s="10"/>
      <c r="H105" s="10"/>
    </row>
    <row r="106" spans="1:10" x14ac:dyDescent="0.2">
      <c r="A106" s="1">
        <v>2008</v>
      </c>
      <c r="B106" s="7">
        <v>16210965</v>
      </c>
      <c r="E106" s="10"/>
      <c r="F106" s="10"/>
      <c r="G106" s="10"/>
      <c r="H106" s="10"/>
      <c r="J106" s="10"/>
    </row>
    <row r="107" spans="1:10" x14ac:dyDescent="0.2">
      <c r="A107" s="1">
        <v>2009</v>
      </c>
      <c r="B107" s="7">
        <v>14266332</v>
      </c>
      <c r="E107" s="10"/>
      <c r="F107" s="10"/>
      <c r="G107" s="10"/>
      <c r="H107" s="10"/>
      <c r="J107" s="10"/>
    </row>
    <row r="108" spans="1:10" x14ac:dyDescent="0.2">
      <c r="A108" s="1">
        <v>2010</v>
      </c>
      <c r="B108" s="7">
        <v>12318774</v>
      </c>
      <c r="E108" s="10"/>
      <c r="F108" s="10"/>
      <c r="G108" s="10"/>
      <c r="H108" s="10"/>
    </row>
    <row r="109" spans="1:10" x14ac:dyDescent="0.2">
      <c r="A109" s="1">
        <v>2011</v>
      </c>
      <c r="B109" s="7">
        <v>20158873</v>
      </c>
      <c r="E109" s="10"/>
      <c r="F109" s="10"/>
      <c r="G109" s="10"/>
      <c r="H109" s="10"/>
    </row>
    <row r="110" spans="1:10" x14ac:dyDescent="0.2">
      <c r="A110" s="1">
        <v>2012</v>
      </c>
      <c r="B110" s="7">
        <v>8499849</v>
      </c>
      <c r="E110" s="10"/>
      <c r="F110" s="10"/>
      <c r="G110" s="10"/>
      <c r="H110" s="10"/>
    </row>
    <row r="111" spans="1:10" x14ac:dyDescent="0.2">
      <c r="A111" s="1">
        <v>2013</v>
      </c>
      <c r="B111" s="7">
        <v>9114936</v>
      </c>
      <c r="E111" s="10"/>
      <c r="F111" s="10"/>
      <c r="G111" s="10"/>
      <c r="H111" s="10"/>
    </row>
    <row r="112" spans="1:10" x14ac:dyDescent="0.2">
      <c r="A112" s="1">
        <v>2014</v>
      </c>
      <c r="B112" s="7">
        <v>13982282</v>
      </c>
      <c r="E112" s="10"/>
      <c r="F112" s="10"/>
      <c r="G112" s="10"/>
      <c r="H112" s="10"/>
    </row>
    <row r="113" spans="1:9" x14ac:dyDescent="0.2">
      <c r="A113" s="1">
        <v>2015</v>
      </c>
      <c r="B113" s="7">
        <v>13411499</v>
      </c>
      <c r="E113" s="10"/>
      <c r="F113" s="10"/>
      <c r="G113" s="10"/>
      <c r="H113" s="10"/>
    </row>
    <row r="114" spans="1:9" x14ac:dyDescent="0.2">
      <c r="A114" s="1">
        <v>2016</v>
      </c>
      <c r="B114" s="7">
        <v>13439429</v>
      </c>
      <c r="E114" s="10"/>
      <c r="F114" s="10"/>
      <c r="G114" s="10"/>
      <c r="H114" s="10"/>
    </row>
    <row r="115" spans="1:9" x14ac:dyDescent="0.2">
      <c r="A115" s="1">
        <v>2017</v>
      </c>
      <c r="B115" s="15">
        <v>16396514</v>
      </c>
      <c r="E115" s="10"/>
      <c r="F115" s="10"/>
      <c r="G115" s="10"/>
      <c r="H115" s="10"/>
    </row>
    <row r="116" spans="1:9" x14ac:dyDescent="0.2">
      <c r="A116" s="1">
        <v>2018</v>
      </c>
      <c r="B116" s="15">
        <v>8633465</v>
      </c>
      <c r="E116" s="10"/>
      <c r="F116" s="10"/>
      <c r="G116" s="10"/>
      <c r="H116" s="10"/>
    </row>
    <row r="117" spans="1:9" x14ac:dyDescent="0.2">
      <c r="A117" s="1">
        <v>2019</v>
      </c>
      <c r="B117" s="15">
        <v>17672055</v>
      </c>
      <c r="C117" s="11"/>
      <c r="E117" s="10"/>
      <c r="F117" s="10"/>
      <c r="G117" s="10"/>
      <c r="H117" s="10"/>
    </row>
    <row r="118" spans="1:9" x14ac:dyDescent="0.2">
      <c r="A118" s="1">
        <v>2020</v>
      </c>
      <c r="B118" s="15">
        <v>9887594</v>
      </c>
      <c r="E118" s="10"/>
      <c r="F118" s="10"/>
      <c r="G118" s="10"/>
      <c r="H118" s="10"/>
    </row>
    <row r="119" spans="1:9" x14ac:dyDescent="0.2">
      <c r="A119" s="1">
        <v>2021</v>
      </c>
      <c r="B119" s="17">
        <v>6337479</v>
      </c>
      <c r="E119" s="10"/>
      <c r="F119" s="10"/>
      <c r="G119" s="10"/>
      <c r="H119" s="10"/>
    </row>
    <row r="120" spans="1:9" x14ac:dyDescent="0.2">
      <c r="A120" s="1">
        <v>2022</v>
      </c>
      <c r="B120" s="16">
        <v>10088000</v>
      </c>
      <c r="E120" s="10"/>
      <c r="F120" s="10"/>
      <c r="G120" s="10"/>
      <c r="H120" s="10"/>
    </row>
    <row r="122" spans="1:9" x14ac:dyDescent="0.2">
      <c r="A122" s="1" t="s">
        <v>3</v>
      </c>
      <c r="B122" s="9">
        <f>AVERAGE(B4:B118)</f>
        <v>14724275.869565217</v>
      </c>
      <c r="C122" s="10"/>
      <c r="D122" s="11"/>
      <c r="F122" s="10"/>
      <c r="I122" s="10"/>
    </row>
    <row r="124" spans="1:9" x14ac:dyDescent="0.2">
      <c r="A124" s="1" t="s">
        <v>4</v>
      </c>
      <c r="B124" s="10">
        <f>AVERAGE(B89:B118)</f>
        <v>13494722.666666666</v>
      </c>
    </row>
    <row r="125" spans="1:9" x14ac:dyDescent="0.2">
      <c r="B125" s="10"/>
    </row>
  </sheetData>
  <sortState xmlns:xlrd2="http://schemas.microsoft.com/office/spreadsheetml/2017/richdata2" ref="A4:D112">
    <sortCondition ref="A4:A112"/>
  </sortState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4"/>
  <sheetViews>
    <sheetView tabSelected="1" workbookViewId="0">
      <pane xSplit="1" ySplit="3" topLeftCell="B91" activePane="bottomRight" state="frozen"/>
      <selection pane="topRight" activeCell="B1" sqref="B1"/>
      <selection pane="bottomLeft" activeCell="A4" sqref="A4"/>
      <selection pane="bottomRight" activeCell="L93" sqref="L93"/>
    </sheetView>
  </sheetViews>
  <sheetFormatPr defaultRowHeight="12.75" x14ac:dyDescent="0.2"/>
  <cols>
    <col min="1" max="1" width="17.7109375" customWidth="1"/>
    <col min="2" max="2" width="14.7109375" customWidth="1"/>
    <col min="3" max="3" width="11.42578125" bestFit="1" customWidth="1"/>
  </cols>
  <sheetData>
    <row r="1" spans="1:2" ht="18" customHeight="1" x14ac:dyDescent="0.2">
      <c r="A1" s="13" t="str">
        <f>'Water Year'!$A$1</f>
        <v>Last Updated 5/4/2022</v>
      </c>
      <c r="B1" s="14"/>
    </row>
    <row r="2" spans="1:2" ht="25.5" x14ac:dyDescent="0.2">
      <c r="B2" s="6" t="s">
        <v>2</v>
      </c>
    </row>
    <row r="3" spans="1:2" x14ac:dyDescent="0.2">
      <c r="B3" s="3" t="s">
        <v>0</v>
      </c>
    </row>
    <row r="4" spans="1:2" x14ac:dyDescent="0.2">
      <c r="A4" s="1">
        <v>1906</v>
      </c>
      <c r="B4" s="4">
        <v>18723760</v>
      </c>
    </row>
    <row r="5" spans="1:2" x14ac:dyDescent="0.2">
      <c r="A5" s="1">
        <v>1907</v>
      </c>
      <c r="B5" s="4">
        <v>20892589</v>
      </c>
    </row>
    <row r="6" spans="1:2" x14ac:dyDescent="0.2">
      <c r="A6" s="1">
        <v>1908</v>
      </c>
      <c r="B6" s="4">
        <v>11711022</v>
      </c>
    </row>
    <row r="7" spans="1:2" x14ac:dyDescent="0.2">
      <c r="A7" s="1">
        <v>1909</v>
      </c>
      <c r="B7" s="4">
        <v>22198132</v>
      </c>
    </row>
    <row r="8" spans="1:2" x14ac:dyDescent="0.2">
      <c r="A8" s="1">
        <v>1910</v>
      </c>
      <c r="B8" s="4">
        <v>14596645</v>
      </c>
    </row>
    <row r="9" spans="1:2" x14ac:dyDescent="0.2">
      <c r="A9" s="1">
        <v>1911</v>
      </c>
      <c r="B9" s="4">
        <v>15650022</v>
      </c>
    </row>
    <row r="10" spans="1:2" x14ac:dyDescent="0.2">
      <c r="A10" s="1">
        <v>1912</v>
      </c>
      <c r="B10" s="4">
        <v>18623405</v>
      </c>
    </row>
    <row r="11" spans="1:2" x14ac:dyDescent="0.2">
      <c r="A11" s="1">
        <v>1913</v>
      </c>
      <c r="B11" s="4">
        <v>14536380</v>
      </c>
    </row>
    <row r="12" spans="1:2" x14ac:dyDescent="0.2">
      <c r="A12" s="1">
        <v>1914</v>
      </c>
      <c r="B12" s="4">
        <v>21354813</v>
      </c>
    </row>
    <row r="13" spans="1:2" x14ac:dyDescent="0.2">
      <c r="A13" s="1">
        <v>1915</v>
      </c>
      <c r="B13" s="4">
        <v>13623272</v>
      </c>
    </row>
    <row r="14" spans="1:2" x14ac:dyDescent="0.2">
      <c r="A14" s="1">
        <v>1916</v>
      </c>
      <c r="B14" s="4">
        <v>20142885</v>
      </c>
    </row>
    <row r="15" spans="1:2" x14ac:dyDescent="0.2">
      <c r="A15" s="1">
        <v>1917</v>
      </c>
      <c r="B15" s="4">
        <v>22942804</v>
      </c>
    </row>
    <row r="16" spans="1:2" x14ac:dyDescent="0.2">
      <c r="A16" s="1">
        <v>1918</v>
      </c>
      <c r="B16" s="4">
        <v>15865937</v>
      </c>
    </row>
    <row r="17" spans="1:2" x14ac:dyDescent="0.2">
      <c r="A17" s="1">
        <v>1919</v>
      </c>
      <c r="B17" s="4">
        <v>12651367</v>
      </c>
    </row>
    <row r="18" spans="1:2" x14ac:dyDescent="0.2">
      <c r="A18" s="1">
        <v>1920</v>
      </c>
      <c r="B18" s="4">
        <v>22287631</v>
      </c>
    </row>
    <row r="19" spans="1:2" x14ac:dyDescent="0.2">
      <c r="A19" s="1">
        <v>1921</v>
      </c>
      <c r="B19" s="4">
        <v>22514401</v>
      </c>
    </row>
    <row r="20" spans="1:2" x14ac:dyDescent="0.2">
      <c r="A20" s="1">
        <v>1922</v>
      </c>
      <c r="B20" s="4">
        <v>18296777</v>
      </c>
    </row>
    <row r="21" spans="1:2" x14ac:dyDescent="0.2">
      <c r="A21" s="1">
        <v>1923</v>
      </c>
      <c r="B21" s="4">
        <v>18997638</v>
      </c>
    </row>
    <row r="22" spans="1:2" x14ac:dyDescent="0.2">
      <c r="A22" s="1">
        <v>1924</v>
      </c>
      <c r="B22" s="4">
        <v>13928686</v>
      </c>
    </row>
    <row r="23" spans="1:2" x14ac:dyDescent="0.2">
      <c r="A23" s="1">
        <v>1925</v>
      </c>
      <c r="B23" s="4">
        <v>14505619</v>
      </c>
    </row>
    <row r="24" spans="1:2" x14ac:dyDescent="0.2">
      <c r="A24" s="1">
        <v>1926</v>
      </c>
      <c r="B24" s="4">
        <v>15378418</v>
      </c>
    </row>
    <row r="25" spans="1:2" x14ac:dyDescent="0.2">
      <c r="A25" s="1">
        <v>1927</v>
      </c>
      <c r="B25" s="4">
        <v>19645777</v>
      </c>
    </row>
    <row r="26" spans="1:2" x14ac:dyDescent="0.2">
      <c r="A26" s="1">
        <v>1928</v>
      </c>
      <c r="B26" s="4">
        <v>17160409</v>
      </c>
    </row>
    <row r="27" spans="1:2" x14ac:dyDescent="0.2">
      <c r="A27" s="1">
        <v>1929</v>
      </c>
      <c r="B27" s="4">
        <v>22218872</v>
      </c>
    </row>
    <row r="28" spans="1:2" x14ac:dyDescent="0.2">
      <c r="A28" s="1">
        <v>1930</v>
      </c>
      <c r="B28" s="4">
        <v>14448164</v>
      </c>
    </row>
    <row r="29" spans="1:2" x14ac:dyDescent="0.2">
      <c r="A29" s="1">
        <v>1931</v>
      </c>
      <c r="B29" s="4">
        <v>8754890</v>
      </c>
    </row>
    <row r="30" spans="1:2" x14ac:dyDescent="0.2">
      <c r="A30" s="1">
        <v>1932</v>
      </c>
      <c r="B30" s="4">
        <v>17665041</v>
      </c>
    </row>
    <row r="31" spans="1:2" x14ac:dyDescent="0.2">
      <c r="A31" s="1">
        <v>1933</v>
      </c>
      <c r="B31" s="4">
        <v>12361183</v>
      </c>
    </row>
    <row r="32" spans="1:2" x14ac:dyDescent="0.2">
      <c r="A32" s="1">
        <v>1934</v>
      </c>
      <c r="B32" s="4">
        <v>6140558</v>
      </c>
    </row>
    <row r="33" spans="1:2" x14ac:dyDescent="0.2">
      <c r="A33" s="1">
        <v>1935</v>
      </c>
      <c r="B33" s="4">
        <v>12608227</v>
      </c>
    </row>
    <row r="34" spans="1:2" x14ac:dyDescent="0.2">
      <c r="A34" s="1">
        <v>1936</v>
      </c>
      <c r="B34" s="4">
        <v>14661124</v>
      </c>
    </row>
    <row r="35" spans="1:2" x14ac:dyDescent="0.2">
      <c r="A35" s="1">
        <v>1937</v>
      </c>
      <c r="B35" s="4">
        <v>14303932</v>
      </c>
    </row>
    <row r="36" spans="1:2" x14ac:dyDescent="0.2">
      <c r="A36" s="1">
        <v>1938</v>
      </c>
      <c r="B36" s="4">
        <v>18121894</v>
      </c>
    </row>
    <row r="37" spans="1:2" x14ac:dyDescent="0.2">
      <c r="A37" s="1">
        <v>1939</v>
      </c>
      <c r="B37" s="4">
        <v>11167271</v>
      </c>
    </row>
    <row r="38" spans="1:2" x14ac:dyDescent="0.2">
      <c r="A38" s="1">
        <v>1940</v>
      </c>
      <c r="B38" s="4">
        <v>9981674</v>
      </c>
    </row>
    <row r="39" spans="1:2" x14ac:dyDescent="0.2">
      <c r="A39" s="1">
        <v>1941</v>
      </c>
      <c r="B39" s="4">
        <v>20018936</v>
      </c>
    </row>
    <row r="40" spans="1:2" x14ac:dyDescent="0.2">
      <c r="A40" s="1">
        <v>1942</v>
      </c>
      <c r="B40" s="4">
        <v>17163785</v>
      </c>
    </row>
    <row r="41" spans="1:2" x14ac:dyDescent="0.2">
      <c r="A41" s="1">
        <v>1943</v>
      </c>
      <c r="B41" s="4">
        <v>13716241</v>
      </c>
    </row>
    <row r="42" spans="1:2" x14ac:dyDescent="0.2">
      <c r="A42" s="1">
        <v>1944</v>
      </c>
      <c r="B42" s="4">
        <v>15296903</v>
      </c>
    </row>
    <row r="43" spans="1:2" x14ac:dyDescent="0.2">
      <c r="A43" s="1">
        <v>1945</v>
      </c>
      <c r="B43" s="4">
        <v>14258149</v>
      </c>
    </row>
    <row r="44" spans="1:2" x14ac:dyDescent="0.2">
      <c r="A44" s="1">
        <v>1946</v>
      </c>
      <c r="B44" s="4">
        <v>11036688</v>
      </c>
    </row>
    <row r="45" spans="1:2" x14ac:dyDescent="0.2">
      <c r="A45" s="1">
        <v>1947</v>
      </c>
      <c r="B45" s="4">
        <v>16380601</v>
      </c>
    </row>
    <row r="46" spans="1:2" x14ac:dyDescent="0.2">
      <c r="A46" s="1">
        <v>1948</v>
      </c>
      <c r="B46" s="4">
        <v>15025098</v>
      </c>
    </row>
    <row r="47" spans="1:2" x14ac:dyDescent="0.2">
      <c r="A47" s="1">
        <v>1949</v>
      </c>
      <c r="B47" s="4">
        <v>16972591</v>
      </c>
    </row>
    <row r="48" spans="1:2" x14ac:dyDescent="0.2">
      <c r="A48" s="1">
        <v>1950</v>
      </c>
      <c r="B48" s="4">
        <v>12949869</v>
      </c>
    </row>
    <row r="49" spans="1:2" x14ac:dyDescent="0.2">
      <c r="A49" s="1">
        <v>1951</v>
      </c>
      <c r="B49" s="4">
        <v>12478879</v>
      </c>
    </row>
    <row r="50" spans="1:2" x14ac:dyDescent="0.2">
      <c r="A50" s="1">
        <v>1952</v>
      </c>
      <c r="B50" s="4">
        <v>20741619</v>
      </c>
    </row>
    <row r="51" spans="1:2" x14ac:dyDescent="0.2">
      <c r="A51" s="1">
        <v>1953</v>
      </c>
      <c r="B51" s="4">
        <v>11123293</v>
      </c>
    </row>
    <row r="52" spans="1:2" x14ac:dyDescent="0.2">
      <c r="A52" s="1">
        <v>1954</v>
      </c>
      <c r="B52" s="4">
        <v>8424222</v>
      </c>
    </row>
    <row r="53" spans="1:2" x14ac:dyDescent="0.2">
      <c r="A53" s="1">
        <v>1955</v>
      </c>
      <c r="B53" s="4">
        <v>9358169</v>
      </c>
    </row>
    <row r="54" spans="1:2" x14ac:dyDescent="0.2">
      <c r="A54" s="1">
        <v>1956</v>
      </c>
      <c r="B54" s="4">
        <v>11538011</v>
      </c>
    </row>
    <row r="55" spans="1:2" x14ac:dyDescent="0.2">
      <c r="A55" s="1">
        <v>1957</v>
      </c>
      <c r="B55" s="4">
        <v>21512861</v>
      </c>
    </row>
    <row r="56" spans="1:2" x14ac:dyDescent="0.2">
      <c r="A56" s="1">
        <v>1958</v>
      </c>
      <c r="B56" s="4">
        <v>15860011</v>
      </c>
    </row>
    <row r="57" spans="1:2" x14ac:dyDescent="0.2">
      <c r="A57" s="1">
        <v>1959</v>
      </c>
      <c r="B57" s="4">
        <v>9619893</v>
      </c>
    </row>
    <row r="58" spans="1:2" x14ac:dyDescent="0.2">
      <c r="A58" s="1">
        <v>1960</v>
      </c>
      <c r="B58" s="4">
        <v>11529387</v>
      </c>
    </row>
    <row r="59" spans="1:2" x14ac:dyDescent="0.2">
      <c r="A59" s="1">
        <v>1961</v>
      </c>
      <c r="B59" s="4">
        <v>9950773</v>
      </c>
    </row>
    <row r="60" spans="1:2" x14ac:dyDescent="0.2">
      <c r="A60" s="1">
        <v>1962</v>
      </c>
      <c r="B60" s="4">
        <v>17358465</v>
      </c>
    </row>
    <row r="61" spans="1:2" x14ac:dyDescent="0.2">
      <c r="A61" s="1">
        <v>1963</v>
      </c>
      <c r="B61" s="4">
        <v>8630540</v>
      </c>
    </row>
    <row r="62" spans="1:2" x14ac:dyDescent="0.2">
      <c r="A62" s="1">
        <v>1964</v>
      </c>
      <c r="B62" s="4">
        <v>10414057</v>
      </c>
    </row>
    <row r="63" spans="1:2" x14ac:dyDescent="0.2">
      <c r="A63" s="1">
        <v>1965</v>
      </c>
      <c r="B63" s="4">
        <v>19416659</v>
      </c>
    </row>
    <row r="64" spans="1:2" x14ac:dyDescent="0.2">
      <c r="A64" s="1">
        <v>1966</v>
      </c>
      <c r="B64" s="4">
        <v>10162126</v>
      </c>
    </row>
    <row r="65" spans="1:2" x14ac:dyDescent="0.2">
      <c r="A65" s="1">
        <v>1967</v>
      </c>
      <c r="B65" s="4">
        <v>11505464</v>
      </c>
    </row>
    <row r="66" spans="1:2" x14ac:dyDescent="0.2">
      <c r="A66" s="1">
        <v>1968</v>
      </c>
      <c r="B66" s="4">
        <v>13654500</v>
      </c>
    </row>
    <row r="67" spans="1:2" x14ac:dyDescent="0.2">
      <c r="A67" s="1">
        <v>1969</v>
      </c>
      <c r="B67" s="4">
        <v>14915964</v>
      </c>
    </row>
    <row r="68" spans="1:2" x14ac:dyDescent="0.2">
      <c r="A68" s="1">
        <v>1970</v>
      </c>
      <c r="B68" s="4">
        <v>14947995</v>
      </c>
    </row>
    <row r="69" spans="1:2" x14ac:dyDescent="0.2">
      <c r="A69" s="1">
        <v>1971</v>
      </c>
      <c r="B69" s="4">
        <v>14898634</v>
      </c>
    </row>
    <row r="70" spans="1:2" x14ac:dyDescent="0.2">
      <c r="A70" s="1">
        <v>1972</v>
      </c>
      <c r="B70" s="4">
        <v>13114748</v>
      </c>
    </row>
    <row r="71" spans="1:2" x14ac:dyDescent="0.2">
      <c r="A71" s="1">
        <v>1973</v>
      </c>
      <c r="B71" s="4">
        <v>18042457</v>
      </c>
    </row>
    <row r="72" spans="1:2" x14ac:dyDescent="0.2">
      <c r="A72" s="1">
        <v>1974</v>
      </c>
      <c r="B72" s="4">
        <v>12909536</v>
      </c>
    </row>
    <row r="73" spans="1:2" x14ac:dyDescent="0.2">
      <c r="A73" s="1">
        <v>1975</v>
      </c>
      <c r="B73" s="4">
        <v>16494368</v>
      </c>
    </row>
    <row r="74" spans="1:2" x14ac:dyDescent="0.2">
      <c r="A74" s="1">
        <v>1976</v>
      </c>
      <c r="B74" s="4">
        <v>11070776</v>
      </c>
    </row>
    <row r="75" spans="1:2" x14ac:dyDescent="0.2">
      <c r="A75" s="1">
        <v>1977</v>
      </c>
      <c r="B75" s="4">
        <v>5456317</v>
      </c>
    </row>
    <row r="76" spans="1:2" x14ac:dyDescent="0.2">
      <c r="A76" s="1">
        <v>1978</v>
      </c>
      <c r="B76" s="4">
        <v>15121536</v>
      </c>
    </row>
    <row r="77" spans="1:2" x14ac:dyDescent="0.2">
      <c r="A77" s="1">
        <v>1979</v>
      </c>
      <c r="B77" s="4">
        <v>17384188</v>
      </c>
    </row>
    <row r="78" spans="1:2" x14ac:dyDescent="0.2">
      <c r="A78" s="1">
        <v>1980</v>
      </c>
      <c r="B78" s="4">
        <v>17395915</v>
      </c>
    </row>
    <row r="79" spans="1:2" x14ac:dyDescent="0.2">
      <c r="A79" s="1">
        <v>1981</v>
      </c>
      <c r="B79" s="4">
        <v>8956326</v>
      </c>
    </row>
    <row r="80" spans="1:2" x14ac:dyDescent="0.2">
      <c r="A80" s="1">
        <v>1982</v>
      </c>
      <c r="B80" s="4">
        <v>17266261</v>
      </c>
    </row>
    <row r="81" spans="1:2" x14ac:dyDescent="0.2">
      <c r="A81" s="1">
        <v>1983</v>
      </c>
      <c r="B81" s="4">
        <v>23570800</v>
      </c>
    </row>
    <row r="82" spans="1:2" x14ac:dyDescent="0.2">
      <c r="A82" s="1">
        <v>1984</v>
      </c>
      <c r="B82" s="4">
        <v>24352653</v>
      </c>
    </row>
    <row r="83" spans="1:2" x14ac:dyDescent="0.2">
      <c r="A83" s="1">
        <v>1985</v>
      </c>
      <c r="B83" s="4">
        <v>21039541</v>
      </c>
    </row>
    <row r="84" spans="1:2" x14ac:dyDescent="0.2">
      <c r="A84" s="1">
        <v>1986</v>
      </c>
      <c r="B84" s="4">
        <v>22982505</v>
      </c>
    </row>
    <row r="85" spans="1:2" x14ac:dyDescent="0.2">
      <c r="A85" s="1">
        <v>1987</v>
      </c>
      <c r="B85" s="4">
        <v>15343157</v>
      </c>
    </row>
    <row r="86" spans="1:2" x14ac:dyDescent="0.2">
      <c r="A86" s="1">
        <v>1988</v>
      </c>
      <c r="B86" s="4">
        <v>11209566</v>
      </c>
    </row>
    <row r="87" spans="1:2" x14ac:dyDescent="0.2">
      <c r="A87" s="1">
        <v>1989</v>
      </c>
      <c r="B87" s="4">
        <v>9511193</v>
      </c>
    </row>
    <row r="88" spans="1:2" x14ac:dyDescent="0.2">
      <c r="A88" s="1">
        <v>1990</v>
      </c>
      <c r="B88" s="4">
        <v>9373272</v>
      </c>
    </row>
    <row r="89" spans="1:2" x14ac:dyDescent="0.2">
      <c r="A89" s="1">
        <v>1991</v>
      </c>
      <c r="B89" s="4">
        <v>12330558</v>
      </c>
    </row>
    <row r="90" spans="1:2" x14ac:dyDescent="0.2">
      <c r="A90" s="1">
        <v>1992</v>
      </c>
      <c r="B90" s="4">
        <v>10957072</v>
      </c>
    </row>
    <row r="91" spans="1:2" x14ac:dyDescent="0.2">
      <c r="A91" s="1">
        <v>1993</v>
      </c>
      <c r="B91" s="4">
        <v>18824324</v>
      </c>
    </row>
    <row r="92" spans="1:2" x14ac:dyDescent="0.2">
      <c r="A92" s="1">
        <v>1994</v>
      </c>
      <c r="B92" s="4">
        <v>10616823</v>
      </c>
    </row>
    <row r="93" spans="1:2" x14ac:dyDescent="0.2">
      <c r="A93" s="1">
        <v>1995</v>
      </c>
      <c r="B93" s="4">
        <v>19921666</v>
      </c>
    </row>
    <row r="94" spans="1:2" x14ac:dyDescent="0.2">
      <c r="A94" s="1">
        <v>1996</v>
      </c>
      <c r="B94" s="4">
        <v>14228248</v>
      </c>
    </row>
    <row r="95" spans="1:2" x14ac:dyDescent="0.2">
      <c r="A95" s="1">
        <v>1997</v>
      </c>
      <c r="B95" s="4">
        <v>21655500</v>
      </c>
    </row>
    <row r="96" spans="1:2" x14ac:dyDescent="0.2">
      <c r="A96" s="1">
        <v>1998</v>
      </c>
      <c r="B96" s="4">
        <v>16694984</v>
      </c>
    </row>
    <row r="97" spans="1:2" x14ac:dyDescent="0.2">
      <c r="A97" s="1">
        <v>1999</v>
      </c>
      <c r="B97" s="4">
        <v>15865084</v>
      </c>
    </row>
    <row r="98" spans="1:2" x14ac:dyDescent="0.2">
      <c r="A98" s="1">
        <v>2000</v>
      </c>
      <c r="B98" s="4">
        <v>10552048</v>
      </c>
    </row>
    <row r="99" spans="1:2" x14ac:dyDescent="0.2">
      <c r="A99" s="1">
        <v>2001</v>
      </c>
      <c r="B99" s="4">
        <v>10736472</v>
      </c>
    </row>
    <row r="100" spans="1:2" x14ac:dyDescent="0.2">
      <c r="A100" s="1">
        <v>2002</v>
      </c>
      <c r="B100" s="4">
        <v>6088898</v>
      </c>
    </row>
    <row r="101" spans="1:2" x14ac:dyDescent="0.2">
      <c r="A101" s="1">
        <v>2003</v>
      </c>
      <c r="B101" s="4">
        <v>10631982</v>
      </c>
    </row>
    <row r="102" spans="1:2" x14ac:dyDescent="0.2">
      <c r="A102" s="1">
        <v>2004</v>
      </c>
      <c r="B102" s="4">
        <v>10073294</v>
      </c>
    </row>
    <row r="103" spans="1:2" x14ac:dyDescent="0.2">
      <c r="A103" s="1">
        <v>2005</v>
      </c>
      <c r="B103" s="4">
        <v>16892826</v>
      </c>
    </row>
    <row r="104" spans="1:2" x14ac:dyDescent="0.2">
      <c r="A104" s="1">
        <v>2006</v>
      </c>
      <c r="B104" s="4">
        <v>13503058</v>
      </c>
    </row>
    <row r="105" spans="1:2" x14ac:dyDescent="0.2">
      <c r="A105" s="1">
        <v>2007</v>
      </c>
      <c r="B105" s="7">
        <v>11453434</v>
      </c>
    </row>
    <row r="106" spans="1:2" x14ac:dyDescent="0.2">
      <c r="A106" s="1">
        <v>2008</v>
      </c>
      <c r="B106" s="8">
        <v>16003494</v>
      </c>
    </row>
    <row r="107" spans="1:2" x14ac:dyDescent="0.2">
      <c r="A107" s="1">
        <v>2009</v>
      </c>
      <c r="B107" s="8">
        <v>14089935</v>
      </c>
    </row>
    <row r="108" spans="1:2" x14ac:dyDescent="0.2">
      <c r="A108" s="1">
        <v>2010</v>
      </c>
      <c r="B108" s="8">
        <v>12708981</v>
      </c>
    </row>
    <row r="109" spans="1:2" x14ac:dyDescent="0.2">
      <c r="A109" s="1">
        <v>2011</v>
      </c>
      <c r="B109" s="8">
        <v>20255837</v>
      </c>
    </row>
    <row r="110" spans="1:2" x14ac:dyDescent="0.2">
      <c r="A110" s="1">
        <v>2012</v>
      </c>
      <c r="B110" s="8">
        <v>7894617</v>
      </c>
    </row>
    <row r="111" spans="1:2" x14ac:dyDescent="0.2">
      <c r="A111" s="1">
        <v>2013</v>
      </c>
      <c r="B111" s="8">
        <v>9727038</v>
      </c>
    </row>
    <row r="112" spans="1:2" x14ac:dyDescent="0.2">
      <c r="A112" s="1">
        <v>2014</v>
      </c>
      <c r="B112" s="8">
        <v>14246418</v>
      </c>
    </row>
    <row r="113" spans="1:4" x14ac:dyDescent="0.2">
      <c r="A113" s="1">
        <v>2015</v>
      </c>
      <c r="B113" s="8">
        <v>13016510</v>
      </c>
    </row>
    <row r="114" spans="1:4" x14ac:dyDescent="0.2">
      <c r="A114" s="1">
        <v>2016</v>
      </c>
      <c r="B114" s="8">
        <v>13418887</v>
      </c>
    </row>
    <row r="115" spans="1:4" x14ac:dyDescent="0.2">
      <c r="A115" s="1">
        <v>2017</v>
      </c>
      <c r="B115" s="15">
        <v>16295677</v>
      </c>
    </row>
    <row r="116" spans="1:4" x14ac:dyDescent="0.2">
      <c r="A116" s="1">
        <v>2018</v>
      </c>
      <c r="B116" s="15">
        <v>8440936</v>
      </c>
    </row>
    <row r="117" spans="1:4" x14ac:dyDescent="0.2">
      <c r="A117" s="1">
        <v>2019</v>
      </c>
      <c r="B117" s="15">
        <v>17721374</v>
      </c>
    </row>
    <row r="118" spans="1:4" x14ac:dyDescent="0.2">
      <c r="A118" s="1">
        <v>2020</v>
      </c>
      <c r="B118" s="15">
        <v>9558765</v>
      </c>
    </row>
    <row r="119" spans="1:4" x14ac:dyDescent="0.2">
      <c r="A119" s="1">
        <v>2021</v>
      </c>
      <c r="B119" s="17">
        <v>6732682</v>
      </c>
    </row>
    <row r="120" spans="1:4" x14ac:dyDescent="0.2">
      <c r="A120" s="1">
        <v>2022</v>
      </c>
      <c r="B120" s="16">
        <v>10356000</v>
      </c>
    </row>
    <row r="122" spans="1:4" x14ac:dyDescent="0.2">
      <c r="A122" s="1" t="s">
        <v>3</v>
      </c>
      <c r="B122" s="9">
        <f>AVERAGE(B4:B118)</f>
        <v>14734969.191304348</v>
      </c>
      <c r="D122" s="11" t="s">
        <v>6</v>
      </c>
    </row>
    <row r="124" spans="1:4" x14ac:dyDescent="0.2">
      <c r="A124" s="1" t="s">
        <v>4</v>
      </c>
      <c r="B124" s="10">
        <f>AVERAGE(B89:B118)</f>
        <v>13480158</v>
      </c>
    </row>
  </sheetData>
  <phoneticPr fontId="6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view="pageBreakPreview" topLeftCell="F1" zoomScale="90" zoomScaleNormal="100" zoomScaleSheetLayoutView="90" workbookViewId="0"/>
  </sheetViews>
  <sheetFormatPr defaultColWidth="9.140625" defaultRowHeight="12.75" x14ac:dyDescent="0.2"/>
  <cols>
    <col min="1" max="16384" width="9.140625" style="5"/>
  </cols>
  <sheetData/>
  <phoneticPr fontId="6" type="noConversion"/>
  <pageMargins left="0" right="0" top="0" bottom="0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Water Year</vt:lpstr>
      <vt:lpstr>Calendar Year</vt:lpstr>
      <vt:lpstr>documentation</vt:lpstr>
    </vt:vector>
  </TitlesOfParts>
  <Company>Reclamation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prairie</dc:creator>
  <cp:lastModifiedBy>Smith,Ryan</cp:lastModifiedBy>
  <cp:lastPrinted>2016-10-13T19:30:59Z</cp:lastPrinted>
  <dcterms:created xsi:type="dcterms:W3CDTF">2008-08-08T17:29:45Z</dcterms:created>
  <dcterms:modified xsi:type="dcterms:W3CDTF">2022-10-24T21:34:56Z</dcterms:modified>
</cp:coreProperties>
</file>